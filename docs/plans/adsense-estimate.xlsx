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s" sheetId="1" state="visible" r:id="rId1"/>
    <sheet xmlns:r="http://schemas.openxmlformats.org/officeDocument/2006/relationships" name="Group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%"/>
    <numFmt numFmtId="166" formatCode="$0.00"/>
    <numFmt numFmtId="167" formatCode="$#,##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EF3C7"/>
      </patternFill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vertical="center" wrapText="1"/>
    </xf>
    <xf numFmtId="3" fontId="0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2" borderId="0" pivotButton="0" quotePrefix="0" xfId="0"/>
    <xf numFmtId="166" fontId="0" fillId="0" borderId="0" pivotButton="0" quotePrefix="0" xfId="0"/>
    <xf numFmtId="166" fontId="0" fillId="2" borderId="0" pivotButton="0" quotePrefix="0" xfId="0"/>
    <xf numFmtId="167" fontId="0" fillId="0" borderId="0" pivotButton="0" quotePrefix="0" xfId="0"/>
    <xf numFmtId="3" fontId="2" fillId="0" borderId="0" pivotButton="0" quotePrefix="0" xfId="0"/>
    <xf numFmtId="167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AdSense estimate: what traffic is worth (all numbers are assumptions you can change, yellow cells)</t>
        </is>
      </c>
    </row>
    <row r="3">
      <c r="A3" t="inlineStr">
        <is>
          <t>Pages viewed per visit</t>
        </is>
      </c>
      <c r="B3" s="2" t="n">
        <v>1.4</v>
      </c>
    </row>
    <row r="4">
      <c r="A4" t="inlineStr">
        <is>
          <t>RPM low factor (x mid)</t>
        </is>
      </c>
      <c r="B4" s="2" t="n">
        <v>0.5</v>
      </c>
    </row>
    <row r="5">
      <c r="A5" t="inlineStr">
        <is>
          <t>RPM high factor (x mid)</t>
        </is>
      </c>
      <c r="B5" s="2" t="n">
        <v>1.6</v>
      </c>
    </row>
    <row r="7">
      <c r="A7" s="3" t="inlineStr">
        <is>
          <t>RPM = what AdSense pays per 1,000 page views (mid estimate, USD)</t>
        </is>
      </c>
    </row>
    <row r="8">
      <c r="A8" t="inlineStr">
        <is>
          <t>Arabic, Saudi audience</t>
        </is>
      </c>
      <c r="B8" s="2" t="n">
        <v>2.5</v>
      </c>
    </row>
    <row r="9">
      <c r="A9" t="inlineStr">
        <is>
          <t>French, France</t>
        </is>
      </c>
      <c r="B9" s="2" t="n">
        <v>1.5</v>
      </c>
    </row>
    <row r="10">
      <c r="A10" t="inlineStr">
        <is>
          <t>Spanish, Spain</t>
        </is>
      </c>
      <c r="B10" s="2" t="n">
        <v>1.5</v>
      </c>
    </row>
    <row r="11">
      <c r="A11" t="inlineStr">
        <is>
          <t>Spanish, Mexico / Chile / LatAm</t>
        </is>
      </c>
      <c r="B11" s="2" t="n">
        <v>0.8</v>
      </c>
    </row>
    <row r="12">
      <c r="A12" t="inlineStr">
        <is>
          <t>English, mixed</t>
        </is>
      </c>
      <c r="B12" s="2" t="n">
        <v>2</v>
      </c>
    </row>
    <row r="15">
      <c r="A15" s="3" t="inlineStr">
        <is>
          <t>Monthly revenue by traffic (blended RPM = average of the rows above)</t>
        </is>
      </c>
    </row>
    <row r="16">
      <c r="A16" s="4" t="inlineStr">
        <is>
          <t>Visits per month</t>
        </is>
      </c>
      <c r="B16" s="4" t="inlineStr">
        <is>
          <t>Page views</t>
        </is>
      </c>
      <c r="C16" s="4" t="inlineStr">
        <is>
          <t>Revenue low (USD)</t>
        </is>
      </c>
      <c r="D16" s="4" t="inlineStr">
        <is>
          <t>Revenue mid (USD)</t>
        </is>
      </c>
      <c r="E16" s="4" t="inlineStr">
        <is>
          <t>Revenue high (USD)</t>
        </is>
      </c>
    </row>
    <row r="17">
      <c r="A17" s="5" t="n">
        <v>3000</v>
      </c>
      <c r="B17" s="6">
        <f>A17*$B$3</f>
        <v/>
      </c>
      <c r="C17" s="7">
        <f>D17*$B$4</f>
        <v/>
      </c>
      <c r="D17" s="7">
        <f>B17/1000*AVERAGE($B$8:$B$12)</f>
        <v/>
      </c>
      <c r="E17" s="7">
        <f>D17*$B$5</f>
        <v/>
      </c>
    </row>
    <row r="18">
      <c r="A18" s="5" t="n">
        <v>10000</v>
      </c>
      <c r="B18" s="6">
        <f>A18*$B$3</f>
        <v/>
      </c>
      <c r="C18" s="7">
        <f>D18*$B$4</f>
        <v/>
      </c>
      <c r="D18" s="7">
        <f>B18/1000*AVERAGE($B$8:$B$12)</f>
        <v/>
      </c>
      <c r="E18" s="7">
        <f>D18*$B$5</f>
        <v/>
      </c>
    </row>
    <row r="19">
      <c r="A19" s="5" t="n">
        <v>30000</v>
      </c>
      <c r="B19" s="6">
        <f>A19*$B$3</f>
        <v/>
      </c>
      <c r="C19" s="7">
        <f>D19*$B$4</f>
        <v/>
      </c>
      <c r="D19" s="7">
        <f>B19/1000*AVERAGE($B$8:$B$12)</f>
        <v/>
      </c>
      <c r="E19" s="7">
        <f>D19*$B$5</f>
        <v/>
      </c>
    </row>
    <row r="20">
      <c r="A20" s="5" t="n">
        <v>100000</v>
      </c>
      <c r="B20" s="6">
        <f>A20*$B$3</f>
        <v/>
      </c>
      <c r="C20" s="7">
        <f>D20*$B$4</f>
        <v/>
      </c>
      <c r="D20" s="7">
        <f>B20/1000*AVERAGE($B$8:$B$12)</f>
        <v/>
      </c>
      <c r="E20" s="7">
        <f>D20*$B$5</f>
        <v/>
      </c>
    </row>
    <row r="21">
      <c r="A21" s="5" t="n">
        <v>300000</v>
      </c>
      <c r="B21" s="6">
        <f>A21*$B$3</f>
        <v/>
      </c>
      <c r="C21" s="7">
        <f>D21*$B$4</f>
        <v/>
      </c>
      <c r="D21" s="7">
        <f>B21/1000*AVERAGE($B$8:$B$12)</f>
        <v/>
      </c>
      <c r="E21" s="7">
        <f>D21*$B$5</f>
        <v/>
      </c>
    </row>
    <row r="23">
      <c r="A23" t="inlineStr">
        <is>
          <t>Today: about 100 clicks a day from Bing, so roughly 3,000 visits a month (first row).</t>
        </is>
      </c>
    </row>
    <row r="24">
      <c r="A24" t="inlineStr">
        <is>
          <t>Semrush CPC for our keywords is $0.00 to $0.38, so RPM stays low: volume, not CPC, is what moves the income.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8" customWidth="1" min="2" max="2"/>
    <col width="8" customWidth="1" min="3" max="3"/>
    <col width="16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6" customWidth="1" min="11" max="11"/>
    <col width="46" customWidth="1" min="12" max="12"/>
  </cols>
  <sheetData>
    <row r="1">
      <c r="A1" s="1" t="inlineStr">
        <is>
          <t>Potential per keyword group (Semrush volumes, search position changes the click share)</t>
        </is>
      </c>
    </row>
    <row r="3">
      <c r="A3" s="3" t="inlineStr">
        <is>
          <t>Click share by Google position (typical ranges, assumption)</t>
        </is>
      </c>
    </row>
    <row r="4">
      <c r="A4" t="inlineStr">
        <is>
          <t>Position 10</t>
        </is>
      </c>
      <c r="B4" s="8" t="n">
        <v>0.015</v>
      </c>
    </row>
    <row r="5">
      <c r="A5" t="inlineStr">
        <is>
          <t>Position 5</t>
        </is>
      </c>
      <c r="B5" s="8" t="n">
        <v>0.06</v>
      </c>
    </row>
    <row r="6">
      <c r="A6" t="inlineStr">
        <is>
          <t>Position 3</t>
        </is>
      </c>
      <c r="B6" s="8" t="n">
        <v>0.11</v>
      </c>
    </row>
    <row r="8" ht="44" customHeight="1">
      <c r="A8" s="4" t="inlineStr">
        <is>
          <t>Group / page</t>
        </is>
      </c>
      <c r="B8" s="4" t="inlineStr">
        <is>
          <t>Monthly searches (Semrush)</t>
        </is>
      </c>
      <c r="C8" s="4" t="inlineStr">
        <is>
          <t>KD</t>
        </is>
      </c>
      <c r="D8" s="4" t="inlineStr">
        <is>
          <t>Weighted Google CPC (USD)</t>
        </is>
      </c>
      <c r="E8" s="4" t="inlineStr">
        <is>
          <t>RPM mid (USD)</t>
        </is>
      </c>
      <c r="F8" s="4" t="inlineStr">
        <is>
          <t>Visits/mo at pos 10</t>
        </is>
      </c>
      <c r="G8" s="4" t="inlineStr">
        <is>
          <t>Visits/mo at pos 5</t>
        </is>
      </c>
      <c r="H8" s="4" t="inlineStr">
        <is>
          <t>Visits/mo at pos 3</t>
        </is>
      </c>
      <c r="I8" s="4" t="inlineStr">
        <is>
          <t>Revenue/mo at pos 10</t>
        </is>
      </c>
      <c r="J8" s="4" t="inlineStr">
        <is>
          <t>Revenue/mo at pos 5</t>
        </is>
      </c>
      <c r="K8" s="4" t="inlineStr">
        <is>
          <t>Revenue/mo at pos 3</t>
        </is>
      </c>
      <c r="L8" s="4" t="inlineStr">
        <is>
          <t>Note</t>
        </is>
      </c>
    </row>
    <row r="9">
      <c r="A9" t="inlineStr">
        <is>
          <t>Arabic: Hijri to Gregorian converter and dates</t>
        </is>
      </c>
      <c r="B9" s="6" t="n">
        <v>800000</v>
      </c>
      <c r="C9" t="inlineStr">
        <is>
          <t>12-25</t>
        </is>
      </c>
      <c r="D9" s="9" t="n">
        <v>0.38</v>
      </c>
      <c r="E9" s="10" t="n">
        <v>2.5</v>
      </c>
      <c r="F9" s="6">
        <f>B9*$B$4</f>
        <v/>
      </c>
      <c r="G9" s="6">
        <f>B9*$B$5</f>
        <v/>
      </c>
      <c r="H9" s="6">
        <f>B9*$B$6</f>
        <v/>
      </c>
      <c r="I9" s="11">
        <f>F9*Scenarios!$B$3/1000*E9</f>
        <v/>
      </c>
      <c r="J9" s="11">
        <f>G9*Scenarios!$B$3/1000*E9</f>
        <v/>
      </c>
      <c r="K9" s="11">
        <f>H9*Scenarios!$B$3/1000*E9</f>
        <v/>
      </c>
      <c r="L9" t="inlineStr">
        <is>
          <t>Biggest group, our AR pages are new</t>
        </is>
      </c>
    </row>
    <row r="10">
      <c r="A10" t="inlineStr">
        <is>
          <t>Arabic: age in Hijri</t>
        </is>
      </c>
      <c r="B10" s="6" t="n">
        <v>143000</v>
      </c>
      <c r="C10" t="inlineStr">
        <is>
          <t>10-12</t>
        </is>
      </c>
      <c r="D10" s="9" t="n">
        <v>0.38</v>
      </c>
      <c r="E10" s="10" t="n">
        <v>2.5</v>
      </c>
      <c r="F10" s="6">
        <f>B10*$B$4</f>
        <v/>
      </c>
      <c r="G10" s="6">
        <f>B10*$B$5</f>
        <v/>
      </c>
      <c r="H10" s="6">
        <f>B10*$B$6</f>
        <v/>
      </c>
      <c r="I10" s="11">
        <f>F10*Scenarios!$B$3/1000*E10</f>
        <v/>
      </c>
      <c r="J10" s="11">
        <f>G10*Scenarios!$B$3/1000*E10</f>
        <v/>
      </c>
      <c r="K10" s="11">
        <f>H10*Scenarios!$B$3/1000*E10</f>
        <v/>
      </c>
      <c r="L10" t="inlineStr">
        <is>
          <t>Easy KD, tool exists</t>
        </is>
      </c>
    </row>
    <row r="11">
      <c r="A11" t="inlineStr">
        <is>
          <t>Arabic: weighted percentage (nisba)</t>
        </is>
      </c>
      <c r="B11" s="6" t="n">
        <v>160000</v>
      </c>
      <c r="C11" t="inlineStr">
        <is>
          <t>17-18</t>
        </is>
      </c>
      <c r="D11" s="9" t="n">
        <v>0.15</v>
      </c>
      <c r="E11" s="10" t="n">
        <v>2.5</v>
      </c>
      <c r="F11" s="6">
        <f>B11*$B$4</f>
        <v/>
      </c>
      <c r="G11" s="6">
        <f>B11*$B$5</f>
        <v/>
      </c>
      <c r="H11" s="6">
        <f>B11*$B$6</f>
        <v/>
      </c>
      <c r="I11" s="11">
        <f>F11*Scenarios!$B$3/1000*E11</f>
        <v/>
      </c>
      <c r="J11" s="11">
        <f>G11*Scenarios!$B$3/1000*E11</f>
        <v/>
      </c>
      <c r="K11" s="11">
        <f>H11*Scenarios!$B$3/1000*E11</f>
        <v/>
      </c>
      <c r="L11" t="inlineStr">
        <is>
          <t>Seasonal around university admission</t>
        </is>
      </c>
    </row>
    <row r="12">
      <c r="A12" t="inlineStr">
        <is>
          <t>Arabic: GPA calculator</t>
        </is>
      </c>
      <c r="B12" s="6" t="n">
        <v>60000</v>
      </c>
      <c r="C12" t="inlineStr">
        <is>
          <t>8-18</t>
        </is>
      </c>
      <c r="D12" s="9" t="n">
        <v>0.15</v>
      </c>
      <c r="E12" s="10" t="n">
        <v>2.5</v>
      </c>
      <c r="F12" s="6">
        <f>B12*$B$4</f>
        <v/>
      </c>
      <c r="G12" s="6">
        <f>B12*$B$5</f>
        <v/>
      </c>
      <c r="H12" s="6">
        <f>B12*$B$6</f>
        <v/>
      </c>
      <c r="I12" s="11">
        <f>F12*Scenarios!$B$3/1000*E12</f>
        <v/>
      </c>
      <c r="J12" s="11">
        <f>G12*Scenarios!$B$3/1000*E12</f>
        <v/>
      </c>
      <c r="K12" s="11">
        <f>H12*Scenarios!$B$3/1000*E12</f>
        <v/>
      </c>
      <c r="L12" t="inlineStr">
        <is>
          <t>Tool exists</t>
        </is>
      </c>
    </row>
    <row r="13">
      <c r="A13" t="inlineStr">
        <is>
          <t>Spanish Chile: escala de notas / generador</t>
        </is>
      </c>
      <c r="B13" s="6" t="n">
        <v>250000</v>
      </c>
      <c r="C13" t="inlineStr">
        <is>
          <t>14-31</t>
        </is>
      </c>
      <c r="D13" s="9" t="n">
        <v>0.06</v>
      </c>
      <c r="E13" s="10" t="n">
        <v>0.8</v>
      </c>
      <c r="F13" s="6">
        <f>B13*$B$4</f>
        <v/>
      </c>
      <c r="G13" s="6">
        <f>B13*$B$5</f>
        <v/>
      </c>
      <c r="H13" s="6">
        <f>B13*$B$6</f>
        <v/>
      </c>
      <c r="I13" s="11">
        <f>F13*Scenarios!$B$3/1000*E13</f>
        <v/>
      </c>
      <c r="J13" s="11">
        <f>G13*Scenarios!$B$3/1000*E13</f>
        <v/>
      </c>
      <c r="K13" s="11">
        <f>H13*Scenarios!$B$3/1000*E13</f>
        <v/>
      </c>
      <c r="L13" t="inlineStr">
        <is>
          <t>Low CPC, huge volume</t>
        </is>
      </c>
    </row>
    <row r="14">
      <c r="A14" t="inlineStr">
        <is>
          <t>Spanish Mexico: aguinaldo</t>
        </is>
      </c>
      <c r="B14" s="6" t="n">
        <v>200000</v>
      </c>
      <c r="C14" t="inlineStr">
        <is>
          <t>20-44</t>
        </is>
      </c>
      <c r="D14" s="9" t="n">
        <v>0.03</v>
      </c>
      <c r="E14" s="10" t="n">
        <v>0.8</v>
      </c>
      <c r="F14" s="6">
        <f>B14*$B$4</f>
        <v/>
      </c>
      <c r="G14" s="6">
        <f>B14*$B$5</f>
        <v/>
      </c>
      <c r="H14" s="6">
        <f>B14*$B$6</f>
        <v/>
      </c>
      <c r="I14" s="11">
        <f>F14*Scenarios!$B$3/1000*E14</f>
        <v/>
      </c>
      <c r="J14" s="11">
        <f>G14*Scenarios!$B$3/1000*E14</f>
        <v/>
      </c>
      <c r="K14" s="11">
        <f>H14*Scenarios!$B$3/1000*E14</f>
        <v/>
      </c>
      <c r="L14" t="inlineStr">
        <is>
          <t>Peak Nov to Dec, near zero the rest of the year</t>
        </is>
      </c>
    </row>
    <row r="15">
      <c r="A15" t="inlineStr">
        <is>
          <t>Spanish: foto tamano infantil</t>
        </is>
      </c>
      <c r="B15" s="6" t="n">
        <v>40000</v>
      </c>
      <c r="C15" t="inlineStr">
        <is>
          <t>25-36</t>
        </is>
      </c>
      <c r="D15" s="9" t="n">
        <v>0.14</v>
      </c>
      <c r="E15" s="10" t="n">
        <v>0.8</v>
      </c>
      <c r="F15" s="6">
        <f>B15*$B$4</f>
        <v/>
      </c>
      <c r="G15" s="6">
        <f>B15*$B$5</f>
        <v/>
      </c>
      <c r="H15" s="6">
        <f>B15*$B$6</f>
        <v/>
      </c>
      <c r="I15" s="11">
        <f>F15*Scenarios!$B$3/1000*E15</f>
        <v/>
      </c>
      <c r="J15" s="11">
        <f>G15*Scenarios!$B$3/1000*E15</f>
        <v/>
      </c>
      <c r="K15" s="11">
        <f>H15*Scenarios!$B$3/1000*E15</f>
        <v/>
      </c>
      <c r="L15" t="inlineStr">
        <is>
          <t>Highest CPC in Spanish</t>
        </is>
      </c>
    </row>
    <row r="16">
      <c r="A16" t="inlineStr">
        <is>
          <t>Spanish Spain: calcular letra DNI</t>
        </is>
      </c>
      <c r="B16" s="6" t="n">
        <v>12100</v>
      </c>
      <c r="C16" t="inlineStr">
        <is>
          <t>1</t>
        </is>
      </c>
      <c r="D16" s="9" t="n">
        <v>0</v>
      </c>
      <c r="E16" s="10" t="n">
        <v>1.5</v>
      </c>
      <c r="F16" s="6">
        <f>B16*$B$4</f>
        <v/>
      </c>
      <c r="G16" s="6">
        <f>B16*$B$5</f>
        <v/>
      </c>
      <c r="H16" s="6">
        <f>B16*$B$6</f>
        <v/>
      </c>
      <c r="I16" s="11">
        <f>F16*Scenarios!$B$3/1000*E16</f>
        <v/>
      </c>
      <c r="J16" s="11">
        <f>G16*Scenarios!$B$3/1000*E16</f>
        <v/>
      </c>
      <c r="K16" s="11">
        <f>H16*Scenarios!$B$3/1000*E16</f>
        <v/>
      </c>
      <c r="L16" t="inlineStr">
        <is>
          <t>New page, KD 1</t>
        </is>
      </c>
    </row>
    <row r="17">
      <c r="A17" t="inlineStr">
        <is>
          <t>French: chiffre en lettre</t>
        </is>
      </c>
      <c r="B17" s="6" t="n">
        <v>50000</v>
      </c>
      <c r="C17" t="inlineStr">
        <is>
          <t>17-31</t>
        </is>
      </c>
      <c r="D17" s="9" t="n">
        <v>0.03</v>
      </c>
      <c r="E17" s="10" t="n">
        <v>1.5</v>
      </c>
      <c r="F17" s="6">
        <f>B17*$B$4</f>
        <v/>
      </c>
      <c r="G17" s="6">
        <f>B17*$B$5</f>
        <v/>
      </c>
      <c r="H17" s="6">
        <f>B17*$B$6</f>
        <v/>
      </c>
      <c r="I17" s="11">
        <f>F17*Scenarios!$B$3/1000*E17</f>
        <v/>
      </c>
      <c r="J17" s="11">
        <f>G17*Scenarios!$B$3/1000*E17</f>
        <v/>
      </c>
      <c r="K17" s="11">
        <f>H17*Scenarios!$B$3/1000*E17</f>
        <v/>
      </c>
      <c r="L17" t="inlineStr">
        <is>
          <t>Position 7-8 on Bing already</t>
        </is>
      </c>
    </row>
    <row r="18">
      <c r="A18" t="inlineStr">
        <is>
          <t>Spanish: cantidad con letra / cheque</t>
        </is>
      </c>
      <c r="B18" s="6" t="n">
        <v>9000</v>
      </c>
      <c r="C18" t="inlineStr">
        <is>
          <t>13-31</t>
        </is>
      </c>
      <c r="D18" s="9" t="n">
        <v>0</v>
      </c>
      <c r="E18" s="10" t="n">
        <v>0.8</v>
      </c>
      <c r="F18" s="6">
        <f>B18*$B$4</f>
        <v/>
      </c>
      <c r="G18" s="6">
        <f>B18*$B$5</f>
        <v/>
      </c>
      <c r="H18" s="6">
        <f>B18*$B$6</f>
        <v/>
      </c>
      <c r="I18" s="11">
        <f>F18*Scenarios!$B$3/1000*E18</f>
        <v/>
      </c>
      <c r="J18" s="11">
        <f>G18*Scenarios!$B$3/1000*E18</f>
        <v/>
      </c>
      <c r="K18" s="11">
        <f>H18*Scenarios!$B$3/1000*E18</f>
        <v/>
      </c>
      <c r="L18" t="inlineStr">
        <is>
          <t>Bing 6.9, Copilot cites it</t>
        </is>
      </c>
    </row>
    <row r="19">
      <c r="A19" s="3" t="inlineStr">
        <is>
          <t>Total</t>
        </is>
      </c>
      <c r="B19" s="12">
        <f>SUM(B9:B18)</f>
        <v/>
      </c>
      <c r="F19" s="12">
        <f>SUM(F9:F18)</f>
        <v/>
      </c>
      <c r="G19" s="12">
        <f>SUM(G9:G18)</f>
        <v/>
      </c>
      <c r="H19" s="12">
        <f>SUM(H9:H18)</f>
        <v/>
      </c>
      <c r="I19" s="13">
        <f>SUM(I9:I18)</f>
        <v/>
      </c>
      <c r="J19" s="13">
        <f>SUM(J9:J18)</f>
        <v/>
      </c>
      <c r="K19" s="13">
        <f>SUM(K9:K18)</f>
        <v/>
      </c>
    </row>
    <row r="21">
      <c r="A21" t="inlineStr">
        <is>
          <t>How to read it: if every group ranked at position 5 on Google, the total of the "pos 5" column is the monthly AdSense income in this model.</t>
        </is>
      </c>
    </row>
    <row r="22">
      <c r="A22" t="inlineStr">
        <is>
          <t>These are upper bounds (search volume is split among many sites, seasons change it, and the model counts Google only). Treat them as a ceiling, not a forecast.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t="inlineStr">
        <is>
          <t>What is solid: Semrush volumes and CPCs (docs/research/semrush), Bing numbers from Webmaster Tools, our current traffic.</t>
        </is>
      </c>
    </row>
    <row r="2">
      <c r="A2" t="inlineStr">
        <is>
          <t>What is assumed: RPM per market, pages per visit, click share by position. Replace them with real AdSense numbers after approval.</t>
        </is>
      </c>
    </row>
    <row r="3">
      <c r="A3" t="inlineStr">
        <is>
          <t>AdSense does not care where visits come from, but the site must pass its content review. Plan: apply in December 2026.</t>
        </is>
      </c>
    </row>
    <row r="4">
      <c r="A4" t="inlineStr">
        <is>
          <t>Bing today: about 100 clicks a day and 4.6K Copilot citations (1-14 Oct 2026). Google today: about 26 clicks in 28 days.</t>
        </is>
      </c>
    </row>
    <row r="5">
      <c r="A5" t="inlineStr">
        <is>
          <t>Seasonal: aguinaldo (Nov to Dec), Ramadan pages (before 8 Feb 2027), nisba (admission season).</t>
        </is>
      </c>
    </row>
    <row r="6">
      <c r="A6" t="inlineStr">
        <is>
          <t>Arabic Saudi RPM is usually the best of the markets we serve. That is why the Arabic groups matter most.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2026-10-17T06:54:08Z</dcterms:created>
  <dcterms:modified xmlns:dcterms="http://purl.org/dc/terms/" xmlns:xsi="http://www.w3.org/2001/XMLSchema-instance" xsi:type="dcterms:W3CDTF">2026-10-17T06:54:08Z</dcterms:modified>
</cp:coreProperties>
</file>